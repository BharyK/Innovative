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bharath/Documents/Innovative/public/"/>
    </mc:Choice>
  </mc:AlternateContent>
  <xr:revisionPtr revIDLastSave="0" documentId="13_ncr:1_{61CA840B-542C-8B49-A487-3724C5A34350}" xr6:coauthVersionLast="47" xr6:coauthVersionMax="47" xr10:uidLastSave="{00000000-0000-0000-0000-000000000000}"/>
  <bookViews>
    <workbookView xWindow="360" yWindow="1540" windowWidth="29040" windowHeight="15720" activeTab="4" xr2:uid="{00000000-000D-0000-FFFF-FFFF00000000}"/>
  </bookViews>
  <sheets>
    <sheet name="SUMMARY" sheetId="2" r:id="rId1"/>
    <sheet name="REVENUE" sheetId="4" r:id="rId2"/>
    <sheet name="EXPENSES" sheetId="3" r:id="rId3"/>
    <sheet name="EXPENSES_01" sheetId="5" r:id="rId4"/>
    <sheet name="Sheet1" sheetId="6" r:id="rId5"/>
  </sheets>
  <definedNames>
    <definedName name="_xlnm._FilterDatabase" localSheetId="2" hidden="1">EXPENSES!$C$2:$M$12</definedName>
    <definedName name="_xlnm._FilterDatabase" localSheetId="3" hidden="1">EXPENSES_01!#REF!</definedName>
    <definedName name="_xlnm._FilterDatabase" localSheetId="1" hidden="1">REVENUE!$A$1:$Y$14</definedName>
    <definedName name="_xlnm._FilterDatabase" localSheetId="0" hidden="1">SUMMARY!#REF!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U2" i="4"/>
  <c r="Z2" i="4" s="1"/>
</calcChain>
</file>

<file path=xl/sharedStrings.xml><?xml version="1.0" encoding="utf-8"?>
<sst xmlns="http://schemas.openxmlformats.org/spreadsheetml/2006/main" count="283" uniqueCount="148">
  <si>
    <t>CUSTOMER</t>
  </si>
  <si>
    <t>STATUS</t>
  </si>
  <si>
    <t>PROPOSAL 
NUMBER</t>
  </si>
  <si>
    <t>SL 
No</t>
  </si>
  <si>
    <t>PROJECT DETAILS</t>
  </si>
  <si>
    <t>ORDER NO.</t>
  </si>
  <si>
    <t>ORDER
DATE</t>
  </si>
  <si>
    <t>INVOICE
 DATE</t>
  </si>
  <si>
    <t>PROPOSAL
DATE</t>
  </si>
  <si>
    <t>CONVERSION 
RATE</t>
  </si>
  <si>
    <t>INVOICE 
VALUE</t>
  </si>
  <si>
    <t>HOURS</t>
  </si>
  <si>
    <t>Vinnovative Design</t>
  </si>
  <si>
    <t>Vijay</t>
  </si>
  <si>
    <t>V242502001</t>
  </si>
  <si>
    <t>V242502002</t>
  </si>
  <si>
    <t>Approved</t>
  </si>
  <si>
    <t>V242502003</t>
  </si>
  <si>
    <t>Design team</t>
  </si>
  <si>
    <t>VG22021273</t>
  </si>
  <si>
    <t>Pending</t>
  </si>
  <si>
    <t>Guru &amp; Ashok</t>
  </si>
  <si>
    <t>Waiting</t>
  </si>
  <si>
    <t>V242502004</t>
  </si>
  <si>
    <t>V242502005</t>
  </si>
  <si>
    <t>V242502006</t>
  </si>
  <si>
    <t>V242502007</t>
  </si>
  <si>
    <t>V242502008</t>
  </si>
  <si>
    <t>V242502009</t>
  </si>
  <si>
    <t>Guru</t>
  </si>
  <si>
    <t>V242502010</t>
  </si>
  <si>
    <t>Ashok</t>
  </si>
  <si>
    <t>12-04-2024
06-05-2024</t>
  </si>
  <si>
    <t>Guru, Santhosh &amp; Ashok</t>
  </si>
  <si>
    <t>VG22021279</t>
  </si>
  <si>
    <t>VG22021280</t>
  </si>
  <si>
    <t>VG22021281</t>
  </si>
  <si>
    <t>Received</t>
  </si>
  <si>
    <t xml:space="preserve"> Received</t>
  </si>
  <si>
    <t>PAYMNET
STATUS</t>
  </si>
  <si>
    <t>VG22021299</t>
  </si>
  <si>
    <t>Hold</t>
  </si>
  <si>
    <t>Cancelled</t>
  </si>
  <si>
    <t xml:space="preserve"> INVOICE 
NUMBER</t>
  </si>
  <si>
    <t>Order Value
 in INR</t>
  </si>
  <si>
    <t>Order 
Value</t>
  </si>
  <si>
    <t>COMMENTS</t>
  </si>
  <si>
    <t>Fluctuation Diffference</t>
  </si>
  <si>
    <t xml:space="preserve">Value Received </t>
  </si>
  <si>
    <t>Invoice Value 
in INR</t>
  </si>
  <si>
    <t>Onexx</t>
  </si>
  <si>
    <t xml:space="preserve">Scnieder </t>
  </si>
  <si>
    <t>Tata Motors</t>
  </si>
  <si>
    <t>ABB</t>
  </si>
  <si>
    <t>Control Engineering</t>
  </si>
  <si>
    <t>Robotics Engineering</t>
  </si>
  <si>
    <t>Design Engineering</t>
  </si>
  <si>
    <t xml:space="preserve">Manufacturing </t>
  </si>
  <si>
    <t>Staffing Solutions</t>
  </si>
  <si>
    <t>Tata Nexon</t>
  </si>
  <si>
    <t>ABB Autoliv</t>
  </si>
  <si>
    <t>Drop Down</t>
  </si>
  <si>
    <t>Next Serial 
Automatic</t>
  </si>
  <si>
    <t>Free entry Calender</t>
  </si>
  <si>
    <t>Free Entry</t>
  </si>
  <si>
    <t xml:space="preserve">Free Entry
Values </t>
  </si>
  <si>
    <t>Multiple Currency</t>
  </si>
  <si>
    <t>INR Currency</t>
  </si>
  <si>
    <t>On Hold</t>
  </si>
  <si>
    <t>Credit Note issued</t>
  </si>
  <si>
    <t>Reversed</t>
  </si>
  <si>
    <t>Penalty</t>
  </si>
  <si>
    <t>Attachment</t>
  </si>
  <si>
    <t>Auto Calculate</t>
  </si>
  <si>
    <t>BUSINESS UNIT</t>
  </si>
  <si>
    <t>PAYMENT TERM</t>
  </si>
  <si>
    <t>Free Entry Numnbers</t>
  </si>
  <si>
    <t>DUE DAYS</t>
  </si>
  <si>
    <t>Auto pop up for Accounts</t>
  </si>
  <si>
    <t>Auto pop up for All BU HEAD weekly</t>
  </si>
  <si>
    <t>Free Entry 
Percentage</t>
  </si>
  <si>
    <t>INVOICE MILESTONES</t>
  </si>
  <si>
    <t>CTC</t>
  </si>
  <si>
    <t>LEAD 
GENERATOR</t>
  </si>
  <si>
    <t>DEPARTMENT</t>
  </si>
  <si>
    <t xml:space="preserve">EMPLOYEE ID </t>
  </si>
  <si>
    <t>NAME</t>
  </si>
  <si>
    <t>DESIGNTAION</t>
  </si>
  <si>
    <t>LOCATION</t>
  </si>
  <si>
    <t>BONUS</t>
  </si>
  <si>
    <t>Free entry</t>
  </si>
  <si>
    <t>SUM TOTAL TCC</t>
  </si>
  <si>
    <t>HOURLY COST</t>
  </si>
  <si>
    <t>DIRECT COST</t>
  </si>
  <si>
    <t>SOFTWARE AND HARDWARE COST</t>
  </si>
  <si>
    <t>PROJECT</t>
  </si>
  <si>
    <t>TOTAL COST/HR</t>
  </si>
  <si>
    <t>INDIRECT COST</t>
  </si>
  <si>
    <t xml:space="preserve">DETAILS </t>
  </si>
  <si>
    <t>AMOUNT</t>
  </si>
  <si>
    <t>BU1 SHARE</t>
  </si>
  <si>
    <t>BU2 SHARE</t>
  </si>
  <si>
    <t>BU3 SHARE</t>
  </si>
  <si>
    <t>BU4 SHARE</t>
  </si>
  <si>
    <t>BU5 SHARE</t>
  </si>
  <si>
    <t>BU6 SHARE</t>
  </si>
  <si>
    <t>TOTAL %</t>
  </si>
  <si>
    <t>Auto Sum</t>
  </si>
  <si>
    <t>BU UNIT</t>
  </si>
  <si>
    <t>Autofill</t>
  </si>
  <si>
    <t xml:space="preserve"> EXPENSE</t>
  </si>
  <si>
    <t xml:space="preserve"> REVENUE</t>
  </si>
  <si>
    <t>GROSS MARGIN</t>
  </si>
  <si>
    <t>CORPORATE TAXES
 PERCENTAGE</t>
  </si>
  <si>
    <t>COMPANY PROFIT 
MARGIN</t>
  </si>
  <si>
    <t xml:space="preserve">EXPENSES PROJECTION 
NEXT 3 MONTHS </t>
  </si>
  <si>
    <t>NET WITHDRAWL
AVAILABLE</t>
  </si>
  <si>
    <t>Auto Fill</t>
  </si>
  <si>
    <t>FIRM</t>
  </si>
  <si>
    <t>SL No</t>
  </si>
  <si>
    <t>OTHER BENEFITS</t>
  </si>
  <si>
    <t>HARDWARE COST</t>
  </si>
  <si>
    <t>SOFTWARE COST</t>
  </si>
  <si>
    <t>DESCRIPTION</t>
  </si>
  <si>
    <t>CURRENCEY</t>
  </si>
  <si>
    <t>Security Services</t>
  </si>
  <si>
    <t>House Keeping</t>
  </si>
  <si>
    <t>Stationary Expenses</t>
  </si>
  <si>
    <t>Catering Expenses</t>
  </si>
  <si>
    <t>Office Maintananace</t>
  </si>
  <si>
    <t>Miscellaneous</t>
  </si>
  <si>
    <t>n….</t>
  </si>
  <si>
    <t>TOTAL</t>
  </si>
  <si>
    <t>Consultation Charges</t>
  </si>
  <si>
    <t>Department Charges</t>
  </si>
  <si>
    <t>Cash Handling Charges</t>
  </si>
  <si>
    <t>Legal Assistance Charges</t>
  </si>
  <si>
    <t>Travel and Allowance</t>
  </si>
  <si>
    <t>Rent</t>
  </si>
  <si>
    <t>Electrucity Bill</t>
  </si>
  <si>
    <t>Catering</t>
  </si>
  <si>
    <t>Drinking Water</t>
  </si>
  <si>
    <t>Pantry Usage</t>
  </si>
  <si>
    <t xml:space="preserve">Garabage Handling </t>
  </si>
  <si>
    <t xml:space="preserve">Garden Maintanance </t>
  </si>
  <si>
    <t xml:space="preserve">Pooja Expense </t>
  </si>
  <si>
    <t>Email and utilities cost</t>
  </si>
  <si>
    <t>Other utilities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</si>
</sst>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[$€-407];[Red]#,##0.00\ [$€-407]"/>
    <numFmt numFmtId="165" formatCode="#,##0\ [$€-407]"/>
    <numFmt numFmtId="166" formatCode="[$£-809]#,##0"/>
    <numFmt numFmtId="167" formatCode="&quot;₹&quot;\ #,##0"/>
    <numFmt numFmtId="168" formatCode="#,##0\ [$€-407];[Red]#,##0\ [$€-407]"/>
    <numFmt numFmtId="169" formatCode="#,##0;[Red]#,##0"/>
    <numFmt numFmtId="170" formatCode="#,##0.00;[Red]#,##0.00"/>
    <numFmt numFmtId="171" formatCode="&quot;₹&quot;\ #,##0.00;[Red]&quot;₹&quot;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  <xf numFmtId="167" fontId="2" fillId="5" borderId="2" xfId="0" applyNumberFormat="1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167" fontId="2" fillId="5" borderId="3" xfId="0" applyNumberFormat="1" applyFont="1" applyFill="1" applyBorder="1" applyAlignment="1">
      <alignment horizontal="right" vertical="center" wrapText="1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 wrapText="1"/>
    </xf>
    <xf numFmtId="168" fontId="2" fillId="6" borderId="2" xfId="0" applyNumberFormat="1" applyFont="1" applyFill="1" applyBorder="1" applyAlignment="1">
      <alignment horizontal="right" vertical="center" wrapText="1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right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2" fillId="7" borderId="3" xfId="0" applyNumberFormat="1" applyFont="1" applyFill="1" applyBorder="1" applyAlignment="1">
      <alignment horizontal="center" vertical="center"/>
    </xf>
    <xf numFmtId="14" fontId="2" fillId="7" borderId="3" xfId="0" applyNumberFormat="1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 wrapText="1"/>
    </xf>
    <xf numFmtId="169" fontId="2" fillId="6" borderId="2" xfId="0" applyNumberFormat="1" applyFont="1" applyFill="1" applyBorder="1" applyAlignment="1">
      <alignment horizontal="center" vertical="center"/>
    </xf>
    <xf numFmtId="169" fontId="4" fillId="6" borderId="2" xfId="0" applyNumberFormat="1" applyFont="1" applyFill="1" applyBorder="1" applyAlignment="1">
      <alignment horizontal="center" vertical="center"/>
    </xf>
    <xf numFmtId="169" fontId="2" fillId="6" borderId="3" xfId="0" applyNumberFormat="1" applyFont="1" applyFill="1" applyBorder="1" applyAlignment="1">
      <alignment horizontal="center" vertical="center"/>
    </xf>
    <xf numFmtId="170" fontId="2" fillId="6" borderId="2" xfId="0" applyNumberFormat="1" applyFont="1" applyFill="1" applyBorder="1" applyAlignment="1">
      <alignment horizontal="center" vertical="center"/>
    </xf>
    <xf numFmtId="170" fontId="4" fillId="6" borderId="2" xfId="0" applyNumberFormat="1" applyFont="1" applyFill="1" applyBorder="1" applyAlignment="1">
      <alignment horizontal="center" vertical="center"/>
    </xf>
    <xf numFmtId="170" fontId="2" fillId="6" borderId="3" xfId="0" applyNumberFormat="1" applyFont="1" applyFill="1" applyBorder="1" applyAlignment="1">
      <alignment horizontal="center" vertical="center"/>
    </xf>
    <xf numFmtId="171" fontId="2" fillId="6" borderId="2" xfId="0" applyNumberFormat="1" applyFont="1" applyFill="1" applyBorder="1" applyAlignment="1">
      <alignment horizontal="center" vertical="center"/>
    </xf>
    <xf numFmtId="171" fontId="4" fillId="6" borderId="2" xfId="0" applyNumberFormat="1" applyFont="1" applyFill="1" applyBorder="1" applyAlignment="1">
      <alignment horizontal="center" vertical="center"/>
    </xf>
    <xf numFmtId="171" fontId="2" fillId="6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14" fontId="2" fillId="2" borderId="18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 textRotation="90"/>
    </xf>
    <xf numFmtId="0" fontId="2" fillId="3" borderId="11" xfId="0" applyFont="1" applyFill="1" applyBorder="1" applyAlignment="1">
      <alignment horizontal="center" vertical="center" textRotation="90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E799-94D2-4DA5-8971-DAD37CE6B6EE}">
  <dimension ref="A1:K24"/>
  <sheetViews>
    <sheetView zoomScale="70" zoomScaleNormal="70" workbookViewId="0">
      <pane ySplit="1" topLeftCell="A2" activePane="bottomLeft" state="frozen"/>
      <selection pane="bottomLeft" activeCell="E13" sqref="E13:F13"/>
    </sheetView>
  </sheetViews>
  <sheetFormatPr baseColWidth="10" defaultColWidth="9.33203125" defaultRowHeight="15" x14ac:dyDescent="0.2"/>
  <cols>
    <col min="1" max="2" width="15.33203125" style="1" customWidth="1"/>
    <col min="3" max="3" width="15.6640625" bestFit="1" customWidth="1"/>
    <col min="4" max="4" width="18.6640625" customWidth="1"/>
    <col min="5" max="5" width="21.5" bestFit="1" customWidth="1"/>
    <col min="6" max="6" width="22.33203125" style="1" bestFit="1" customWidth="1"/>
    <col min="7" max="7" width="22.33203125" style="1" customWidth="1"/>
    <col min="8" max="8" width="29.6640625" bestFit="1" customWidth="1"/>
    <col min="9" max="9" width="25" style="6" bestFit="1" customWidth="1"/>
    <col min="10" max="10" width="30.33203125" style="6" bestFit="1" customWidth="1"/>
    <col min="11" max="11" width="28.5" style="1" customWidth="1"/>
  </cols>
  <sheetData>
    <row r="1" spans="1:11" s="1" customFormat="1" ht="45" thickBot="1" x14ac:dyDescent="0.3">
      <c r="A1" s="12" t="s">
        <v>3</v>
      </c>
      <c r="B1" s="13" t="s">
        <v>118</v>
      </c>
      <c r="C1" s="13" t="s">
        <v>108</v>
      </c>
      <c r="D1" s="13" t="s">
        <v>95</v>
      </c>
      <c r="E1" s="13" t="s">
        <v>110</v>
      </c>
      <c r="F1" s="13" t="s">
        <v>111</v>
      </c>
      <c r="G1" s="13" t="s">
        <v>112</v>
      </c>
      <c r="H1" s="13" t="s">
        <v>113</v>
      </c>
      <c r="I1" s="13" t="s">
        <v>114</v>
      </c>
      <c r="J1" s="13" t="s">
        <v>115</v>
      </c>
      <c r="K1" s="13" t="s">
        <v>116</v>
      </c>
    </row>
    <row r="2" spans="1:11" ht="19" x14ac:dyDescent="0.25">
      <c r="A2" s="2">
        <v>1</v>
      </c>
      <c r="B2" s="2"/>
      <c r="C2" s="3"/>
      <c r="D2" s="3"/>
      <c r="E2" s="4"/>
      <c r="F2" s="5"/>
      <c r="G2" s="5"/>
      <c r="H2" s="5"/>
      <c r="I2" s="3"/>
      <c r="J2" s="3"/>
      <c r="K2" s="3"/>
    </row>
    <row r="3" spans="1:11" ht="19" x14ac:dyDescent="0.25">
      <c r="A3" s="2">
        <v>2</v>
      </c>
      <c r="B3" s="2"/>
      <c r="C3" s="3"/>
      <c r="D3" s="3"/>
      <c r="E3" s="4"/>
      <c r="F3" s="5"/>
      <c r="G3" s="5"/>
      <c r="H3" s="5"/>
      <c r="I3" s="3"/>
      <c r="J3" s="3"/>
      <c r="K3" s="3"/>
    </row>
    <row r="4" spans="1:11" ht="19" x14ac:dyDescent="0.25">
      <c r="A4" s="2">
        <v>3</v>
      </c>
      <c r="B4" s="2"/>
      <c r="C4" s="3"/>
      <c r="D4" s="3"/>
      <c r="E4" s="4"/>
      <c r="F4" s="5"/>
      <c r="G4" s="5"/>
      <c r="H4" s="5"/>
      <c r="I4" s="3"/>
      <c r="J4" s="3"/>
      <c r="K4" s="3"/>
    </row>
    <row r="5" spans="1:11" ht="19" x14ac:dyDescent="0.25">
      <c r="A5" s="2">
        <v>4</v>
      </c>
      <c r="B5" s="2"/>
      <c r="C5" s="3"/>
      <c r="D5" s="3"/>
      <c r="E5" s="4"/>
      <c r="F5" s="5"/>
      <c r="G5" s="5"/>
      <c r="H5" s="5"/>
      <c r="I5" s="3"/>
      <c r="J5" s="3"/>
      <c r="K5" s="3"/>
    </row>
    <row r="6" spans="1:11" ht="19" x14ac:dyDescent="0.25">
      <c r="A6" s="2">
        <v>5</v>
      </c>
      <c r="B6" s="2"/>
      <c r="C6" s="3"/>
      <c r="D6" s="3"/>
      <c r="E6" s="4"/>
      <c r="F6" s="5"/>
      <c r="G6" s="5"/>
      <c r="H6" s="5"/>
      <c r="I6" s="3"/>
      <c r="J6" s="3"/>
      <c r="K6" s="3"/>
    </row>
    <row r="7" spans="1:11" ht="19" x14ac:dyDescent="0.25">
      <c r="A7" s="2">
        <v>6</v>
      </c>
      <c r="B7" s="2"/>
      <c r="C7" s="3"/>
      <c r="D7" s="3"/>
      <c r="E7" s="4"/>
      <c r="F7" s="5"/>
      <c r="G7" s="5"/>
      <c r="H7" s="5"/>
      <c r="I7" s="3"/>
      <c r="J7" s="3"/>
      <c r="K7" s="3"/>
    </row>
    <row r="8" spans="1:11" ht="19" x14ac:dyDescent="0.25">
      <c r="A8" s="2">
        <v>7</v>
      </c>
      <c r="B8" s="2"/>
      <c r="C8" s="3"/>
      <c r="D8" s="3"/>
      <c r="E8" s="4"/>
      <c r="F8" s="5"/>
      <c r="G8" s="5"/>
      <c r="H8" s="5"/>
      <c r="I8" s="3"/>
      <c r="J8" s="3"/>
      <c r="K8" s="3"/>
    </row>
    <row r="9" spans="1:11" ht="19" x14ac:dyDescent="0.25">
      <c r="A9" s="2">
        <v>8</v>
      </c>
      <c r="B9" s="2"/>
      <c r="C9" s="3"/>
      <c r="D9" s="3"/>
      <c r="E9" s="4"/>
      <c r="F9" s="5"/>
      <c r="G9" s="5"/>
      <c r="H9" s="5"/>
      <c r="I9" s="3"/>
      <c r="J9" s="3"/>
      <c r="K9" s="3"/>
    </row>
    <row r="10" spans="1:11" ht="18.75" customHeight="1" x14ac:dyDescent="0.25">
      <c r="A10" s="2">
        <v>9</v>
      </c>
      <c r="B10" s="2"/>
      <c r="C10" s="3"/>
      <c r="D10" s="3"/>
      <c r="E10" s="4"/>
      <c r="F10" s="5"/>
      <c r="G10" s="5"/>
      <c r="H10" s="5"/>
      <c r="I10" s="3"/>
      <c r="J10" s="3"/>
      <c r="K10" s="3"/>
    </row>
    <row r="11" spans="1:11" ht="20" thickBot="1" x14ac:dyDescent="0.25">
      <c r="A11" s="16">
        <v>10</v>
      </c>
      <c r="B11" s="16"/>
      <c r="C11" s="16"/>
      <c r="D11" s="16"/>
      <c r="E11" s="17"/>
      <c r="F11" s="18"/>
      <c r="G11" s="18"/>
      <c r="H11" s="18"/>
      <c r="I11" s="16"/>
      <c r="J11" s="16"/>
      <c r="K11" s="16"/>
    </row>
    <row r="12" spans="1:11" ht="45" thickBot="1" x14ac:dyDescent="0.25">
      <c r="A12" s="11" t="s">
        <v>62</v>
      </c>
      <c r="B12" s="11" t="s">
        <v>61</v>
      </c>
      <c r="C12" s="11" t="s">
        <v>61</v>
      </c>
      <c r="D12" s="11" t="s">
        <v>61</v>
      </c>
      <c r="E12" s="11" t="s">
        <v>109</v>
      </c>
      <c r="F12" s="11" t="s">
        <v>109</v>
      </c>
      <c r="G12" s="11" t="s">
        <v>73</v>
      </c>
      <c r="H12" s="11" t="s">
        <v>64</v>
      </c>
      <c r="I12" s="11" t="s">
        <v>64</v>
      </c>
      <c r="J12" s="11" t="s">
        <v>117</v>
      </c>
      <c r="K12" s="11" t="s">
        <v>117</v>
      </c>
    </row>
    <row r="13" spans="1:11" ht="22" thickBot="1" x14ac:dyDescent="0.25">
      <c r="E13" s="45"/>
      <c r="F13" s="45"/>
    </row>
    <row r="18" spans="7:10" x14ac:dyDescent="0.2">
      <c r="G18"/>
      <c r="H18" s="6"/>
      <c r="J18" s="1"/>
    </row>
    <row r="19" spans="7:10" x14ac:dyDescent="0.2">
      <c r="J19" s="1"/>
    </row>
    <row r="20" spans="7:10" x14ac:dyDescent="0.2">
      <c r="G20"/>
      <c r="H20" s="6"/>
      <c r="J20" s="1"/>
    </row>
    <row r="21" spans="7:10" x14ac:dyDescent="0.2">
      <c r="G21"/>
      <c r="H21" s="6"/>
      <c r="J21" s="1"/>
    </row>
    <row r="22" spans="7:10" x14ac:dyDescent="0.2">
      <c r="G22"/>
      <c r="H22" s="6"/>
      <c r="J22" s="1"/>
    </row>
    <row r="23" spans="7:10" x14ac:dyDescent="0.2">
      <c r="G23"/>
      <c r="H23" s="6"/>
      <c r="J23" s="1"/>
    </row>
    <row r="24" spans="7:10" x14ac:dyDescent="0.2">
      <c r="G24"/>
      <c r="H24" s="6"/>
      <c r="J24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5CF9-40C0-4CF7-ADE3-EFA9DF8A7EE9}">
  <dimension ref="A1:AA24"/>
  <sheetViews>
    <sheetView zoomScale="70" zoomScaleNormal="70" workbookViewId="0">
      <pane ySplit="1" topLeftCell="A2" activePane="bottomLeft" state="frozen"/>
      <selection pane="bottomLeft" activeCell="I5" sqref="I5"/>
    </sheetView>
  </sheetViews>
  <sheetFormatPr baseColWidth="10" defaultColWidth="9.33203125" defaultRowHeight="15" x14ac:dyDescent="0.2"/>
  <cols>
    <col min="1" max="2" width="15.33203125" style="1" customWidth="1"/>
    <col min="3" max="4" width="21.5" bestFit="1" customWidth="1"/>
    <col min="5" max="5" width="22.33203125" style="1" bestFit="1" customWidth="1"/>
    <col min="6" max="6" width="22.33203125" style="1" customWidth="1"/>
    <col min="7" max="7" width="29.6640625" bestFit="1" customWidth="1"/>
    <col min="8" max="8" width="27.5" style="6" customWidth="1"/>
    <col min="9" max="9" width="16.5" style="6" customWidth="1"/>
    <col min="10" max="10" width="28.5" style="1" customWidth="1"/>
    <col min="11" max="11" width="17.5" customWidth="1"/>
    <col min="12" max="12" width="22.33203125" style="7" bestFit="1" customWidth="1"/>
    <col min="13" max="13" width="16.5" style="1" customWidth="1"/>
    <col min="14" max="14" width="15.6640625" style="8" bestFit="1" customWidth="1"/>
    <col min="15" max="16" width="23.1640625" style="8" customWidth="1"/>
    <col min="17" max="17" width="19.33203125" style="1" bestFit="1" customWidth="1"/>
    <col min="18" max="18" width="18.33203125" style="1" bestFit="1" customWidth="1"/>
    <col min="19" max="19" width="18.33203125" style="10" bestFit="1" customWidth="1"/>
    <col min="20" max="20" width="20.5" style="9" customWidth="1"/>
    <col min="21" max="23" width="22" style="9" customWidth="1"/>
    <col min="24" max="24" width="19.33203125" style="9" customWidth="1"/>
    <col min="25" max="25" width="19.5" style="1" customWidth="1"/>
    <col min="26" max="26" width="31.33203125" bestFit="1" customWidth="1"/>
    <col min="27" max="27" width="23.33203125" bestFit="1" customWidth="1"/>
  </cols>
  <sheetData>
    <row r="1" spans="1:27" s="1" customFormat="1" ht="45" thickBot="1" x14ac:dyDescent="0.3">
      <c r="A1" s="12" t="s">
        <v>3</v>
      </c>
      <c r="B1" s="13" t="s">
        <v>118</v>
      </c>
      <c r="C1" s="13" t="s">
        <v>2</v>
      </c>
      <c r="D1" s="13" t="s">
        <v>8</v>
      </c>
      <c r="E1" s="14" t="s">
        <v>0</v>
      </c>
      <c r="F1" s="13" t="s">
        <v>83</v>
      </c>
      <c r="G1" s="14" t="s">
        <v>4</v>
      </c>
      <c r="H1" s="14" t="s">
        <v>84</v>
      </c>
      <c r="I1" s="14" t="s">
        <v>11</v>
      </c>
      <c r="J1" s="14" t="s">
        <v>74</v>
      </c>
      <c r="K1" s="14" t="s">
        <v>1</v>
      </c>
      <c r="L1" s="14" t="s">
        <v>5</v>
      </c>
      <c r="M1" s="13" t="s">
        <v>6</v>
      </c>
      <c r="N1" s="13" t="s">
        <v>45</v>
      </c>
      <c r="O1" s="13" t="s">
        <v>44</v>
      </c>
      <c r="P1" s="13" t="s">
        <v>81</v>
      </c>
      <c r="Q1" s="13" t="s">
        <v>43</v>
      </c>
      <c r="R1" s="13" t="s">
        <v>7</v>
      </c>
      <c r="S1" s="15" t="s">
        <v>10</v>
      </c>
      <c r="T1" s="15" t="s">
        <v>9</v>
      </c>
      <c r="U1" s="15" t="s">
        <v>49</v>
      </c>
      <c r="V1" s="15" t="s">
        <v>75</v>
      </c>
      <c r="W1" s="15" t="s">
        <v>77</v>
      </c>
      <c r="X1" s="15" t="s">
        <v>48</v>
      </c>
      <c r="Y1" s="13" t="s">
        <v>39</v>
      </c>
      <c r="Z1" s="14" t="s">
        <v>47</v>
      </c>
      <c r="AA1" s="14" t="s">
        <v>46</v>
      </c>
    </row>
    <row r="2" spans="1:27" ht="20" x14ac:dyDescent="0.25">
      <c r="A2" s="2">
        <v>1</v>
      </c>
      <c r="B2" s="2"/>
      <c r="C2" s="3" t="s">
        <v>14</v>
      </c>
      <c r="D2" s="4">
        <v>45384</v>
      </c>
      <c r="E2" s="5" t="s">
        <v>50</v>
      </c>
      <c r="F2" s="5"/>
      <c r="G2" s="5"/>
      <c r="H2" s="3" t="s">
        <v>56</v>
      </c>
      <c r="I2" s="3">
        <v>800</v>
      </c>
      <c r="J2" s="3" t="s">
        <v>13</v>
      </c>
      <c r="K2" s="3" t="s">
        <v>16</v>
      </c>
      <c r="L2" s="19"/>
      <c r="M2" s="20"/>
      <c r="N2" s="21"/>
      <c r="O2" s="21"/>
      <c r="P2" s="21"/>
      <c r="Q2" s="27" t="s">
        <v>34</v>
      </c>
      <c r="R2" s="28">
        <v>45448</v>
      </c>
      <c r="S2" s="29">
        <v>13600</v>
      </c>
      <c r="T2" s="49">
        <v>90</v>
      </c>
      <c r="U2" s="52">
        <f>T2*S2</f>
        <v>1224000</v>
      </c>
      <c r="V2" s="46">
        <v>30</v>
      </c>
      <c r="W2" s="30"/>
      <c r="X2" s="38">
        <v>1264800</v>
      </c>
      <c r="Y2" s="39" t="s">
        <v>38</v>
      </c>
      <c r="Z2" s="38">
        <f>X2-U2</f>
        <v>40800</v>
      </c>
      <c r="AA2" s="40"/>
    </row>
    <row r="3" spans="1:27" ht="20" x14ac:dyDescent="0.25">
      <c r="A3" s="2">
        <v>2</v>
      </c>
      <c r="B3" s="2"/>
      <c r="C3" s="3" t="s">
        <v>15</v>
      </c>
      <c r="D3" s="4">
        <v>45384</v>
      </c>
      <c r="E3" s="5" t="s">
        <v>51</v>
      </c>
      <c r="F3" s="5"/>
      <c r="G3" s="5"/>
      <c r="H3" s="3" t="s">
        <v>56</v>
      </c>
      <c r="I3" s="3">
        <v>152</v>
      </c>
      <c r="J3" s="3" t="s">
        <v>13</v>
      </c>
      <c r="K3" s="3" t="s">
        <v>41</v>
      </c>
      <c r="L3" s="19"/>
      <c r="M3" s="20"/>
      <c r="N3" s="22"/>
      <c r="O3" s="22"/>
      <c r="P3" s="22"/>
      <c r="Q3" s="27"/>
      <c r="R3" s="28"/>
      <c r="S3" s="29"/>
      <c r="T3" s="49"/>
      <c r="U3" s="52"/>
      <c r="V3" s="46">
        <v>45</v>
      </c>
      <c r="W3" s="30"/>
      <c r="X3" s="38"/>
      <c r="Y3" s="39" t="s">
        <v>68</v>
      </c>
      <c r="Z3" s="40"/>
      <c r="AA3" s="40"/>
    </row>
    <row r="4" spans="1:27" ht="20" x14ac:dyDescent="0.25">
      <c r="A4" s="2">
        <v>3</v>
      </c>
      <c r="B4" s="2"/>
      <c r="C4" s="3" t="s">
        <v>17</v>
      </c>
      <c r="D4" s="4">
        <v>45384</v>
      </c>
      <c r="E4" s="5" t="s">
        <v>52</v>
      </c>
      <c r="F4" s="5"/>
      <c r="G4" s="5" t="s">
        <v>59</v>
      </c>
      <c r="H4" s="3" t="s">
        <v>54</v>
      </c>
      <c r="I4" s="3"/>
      <c r="J4" s="3" t="s">
        <v>18</v>
      </c>
      <c r="K4" s="3" t="s">
        <v>22</v>
      </c>
      <c r="L4" s="19"/>
      <c r="M4" s="20"/>
      <c r="N4" s="21"/>
      <c r="O4" s="21"/>
      <c r="P4" s="21"/>
      <c r="Q4" s="27" t="s">
        <v>19</v>
      </c>
      <c r="R4" s="28">
        <v>45386</v>
      </c>
      <c r="S4" s="31">
        <v>13000</v>
      </c>
      <c r="T4" s="49"/>
      <c r="U4" s="52"/>
      <c r="V4" s="46">
        <v>60</v>
      </c>
      <c r="W4" s="30"/>
      <c r="X4" s="38"/>
      <c r="Y4" s="39" t="s">
        <v>69</v>
      </c>
      <c r="Z4" s="40"/>
      <c r="AA4" s="40"/>
    </row>
    <row r="5" spans="1:27" ht="20" x14ac:dyDescent="0.25">
      <c r="A5" s="2">
        <v>4</v>
      </c>
      <c r="B5" s="2"/>
      <c r="C5" s="3" t="s">
        <v>23</v>
      </c>
      <c r="D5" s="4">
        <v>45387</v>
      </c>
      <c r="E5" s="5" t="s">
        <v>53</v>
      </c>
      <c r="F5" s="5"/>
      <c r="G5" s="5" t="s">
        <v>60</v>
      </c>
      <c r="H5" s="3" t="s">
        <v>58</v>
      </c>
      <c r="I5" s="3">
        <f>3305+775</f>
        <v>4080</v>
      </c>
      <c r="J5" s="3" t="s">
        <v>21</v>
      </c>
      <c r="K5" s="3" t="s">
        <v>42</v>
      </c>
      <c r="L5" s="19"/>
      <c r="M5" s="20"/>
      <c r="N5" s="23"/>
      <c r="O5" s="23"/>
      <c r="P5" s="23"/>
      <c r="Q5" s="27"/>
      <c r="R5" s="28"/>
      <c r="S5" s="32"/>
      <c r="T5" s="49"/>
      <c r="U5" s="52"/>
      <c r="V5" s="46">
        <v>90</v>
      </c>
      <c r="W5" s="30"/>
      <c r="X5" s="38"/>
      <c r="Y5" s="39" t="s">
        <v>70</v>
      </c>
      <c r="Z5" s="40"/>
      <c r="AA5" s="40"/>
    </row>
    <row r="6" spans="1:27" ht="20" x14ac:dyDescent="0.25">
      <c r="A6" s="2">
        <v>5</v>
      </c>
      <c r="B6" s="2"/>
      <c r="C6" s="3" t="s">
        <v>24</v>
      </c>
      <c r="D6" s="4">
        <v>45392</v>
      </c>
      <c r="E6" s="5"/>
      <c r="F6" s="5"/>
      <c r="G6" s="5"/>
      <c r="H6" s="3" t="s">
        <v>55</v>
      </c>
      <c r="I6" s="3">
        <v>853</v>
      </c>
      <c r="J6" s="3" t="s">
        <v>31</v>
      </c>
      <c r="K6" s="3" t="s">
        <v>16</v>
      </c>
      <c r="L6" s="19"/>
      <c r="M6" s="20"/>
      <c r="N6" s="21"/>
      <c r="O6" s="21"/>
      <c r="P6" s="21"/>
      <c r="Q6" s="27" t="s">
        <v>40</v>
      </c>
      <c r="R6" s="28">
        <v>45524</v>
      </c>
      <c r="S6" s="29">
        <v>14502</v>
      </c>
      <c r="T6" s="49"/>
      <c r="U6" s="52"/>
      <c r="V6" s="46"/>
      <c r="W6" s="30"/>
      <c r="X6" s="38"/>
      <c r="Y6" s="39" t="s">
        <v>71</v>
      </c>
      <c r="Z6" s="40"/>
      <c r="AA6" s="40"/>
    </row>
    <row r="7" spans="1:27" ht="20" x14ac:dyDescent="0.25">
      <c r="A7" s="2">
        <v>6</v>
      </c>
      <c r="B7" s="2"/>
      <c r="C7" s="3" t="s">
        <v>25</v>
      </c>
      <c r="D7" s="4">
        <v>45392</v>
      </c>
      <c r="E7" s="5"/>
      <c r="F7" s="5"/>
      <c r="G7" s="5"/>
      <c r="H7" s="3" t="s">
        <v>54</v>
      </c>
      <c r="I7" s="3">
        <v>1750</v>
      </c>
      <c r="J7" s="3" t="s">
        <v>13</v>
      </c>
      <c r="K7" s="3" t="s">
        <v>16</v>
      </c>
      <c r="L7" s="19"/>
      <c r="M7" s="20"/>
      <c r="N7" s="22"/>
      <c r="O7" s="22"/>
      <c r="P7" s="22"/>
      <c r="Q7" s="27"/>
      <c r="R7" s="28"/>
      <c r="S7" s="29"/>
      <c r="T7" s="50"/>
      <c r="U7" s="53"/>
      <c r="V7" s="47"/>
      <c r="W7" s="33"/>
      <c r="X7" s="41"/>
      <c r="Y7" s="39" t="s">
        <v>37</v>
      </c>
      <c r="Z7" s="40"/>
      <c r="AA7" s="40"/>
    </row>
    <row r="8" spans="1:27" ht="20" x14ac:dyDescent="0.25">
      <c r="A8" s="2">
        <v>7</v>
      </c>
      <c r="B8" s="2"/>
      <c r="C8" s="3" t="s">
        <v>26</v>
      </c>
      <c r="D8" s="4">
        <v>45394</v>
      </c>
      <c r="E8" s="5"/>
      <c r="F8" s="5"/>
      <c r="G8" s="5"/>
      <c r="H8" s="3" t="s">
        <v>57</v>
      </c>
      <c r="I8" s="3">
        <v>1130</v>
      </c>
      <c r="J8" s="3" t="s">
        <v>13</v>
      </c>
      <c r="K8" s="3" t="s">
        <v>16</v>
      </c>
      <c r="L8" s="19"/>
      <c r="M8" s="20"/>
      <c r="N8" s="21"/>
      <c r="O8" s="21"/>
      <c r="P8" s="21"/>
      <c r="Q8" s="27" t="s">
        <v>35</v>
      </c>
      <c r="R8" s="28">
        <v>45448</v>
      </c>
      <c r="S8" s="29">
        <v>19210</v>
      </c>
      <c r="T8" s="49"/>
      <c r="U8" s="52"/>
      <c r="V8" s="46"/>
      <c r="W8" s="30"/>
      <c r="X8" s="38"/>
      <c r="Y8" s="39" t="s">
        <v>20</v>
      </c>
      <c r="Z8" s="40"/>
      <c r="AA8" s="40"/>
    </row>
    <row r="9" spans="1:27" ht="20" x14ac:dyDescent="0.25">
      <c r="A9" s="2">
        <v>8</v>
      </c>
      <c r="B9" s="2"/>
      <c r="C9" s="3" t="s">
        <v>27</v>
      </c>
      <c r="D9" s="4">
        <v>45400</v>
      </c>
      <c r="E9" s="5"/>
      <c r="F9" s="5"/>
      <c r="G9" s="5"/>
      <c r="H9" s="3" t="s">
        <v>56</v>
      </c>
      <c r="I9" s="3">
        <v>1350</v>
      </c>
      <c r="J9" s="3" t="s">
        <v>13</v>
      </c>
      <c r="K9" s="3" t="s">
        <v>16</v>
      </c>
      <c r="L9" s="19"/>
      <c r="M9" s="20"/>
      <c r="N9" s="21"/>
      <c r="O9" s="21"/>
      <c r="P9" s="21"/>
      <c r="Q9" s="27" t="s">
        <v>36</v>
      </c>
      <c r="R9" s="28">
        <v>45448</v>
      </c>
      <c r="S9" s="29">
        <v>22950</v>
      </c>
      <c r="T9" s="49"/>
      <c r="U9" s="52"/>
      <c r="V9" s="46"/>
      <c r="W9" s="30"/>
      <c r="X9" s="38"/>
      <c r="Y9" s="39" t="s">
        <v>38</v>
      </c>
      <c r="Z9" s="40"/>
      <c r="AA9" s="40"/>
    </row>
    <row r="10" spans="1:27" ht="18.75" customHeight="1" x14ac:dyDescent="0.25">
      <c r="A10" s="2">
        <v>9</v>
      </c>
      <c r="B10" s="2"/>
      <c r="C10" s="3" t="s">
        <v>28</v>
      </c>
      <c r="D10" s="4">
        <v>45400</v>
      </c>
      <c r="E10" s="5"/>
      <c r="F10" s="5"/>
      <c r="G10" s="5"/>
      <c r="H10" s="3" t="s">
        <v>55</v>
      </c>
      <c r="I10" s="3">
        <v>139</v>
      </c>
      <c r="J10" s="3" t="s">
        <v>29</v>
      </c>
      <c r="K10" s="3" t="s">
        <v>16</v>
      </c>
      <c r="L10" s="19"/>
      <c r="M10" s="20"/>
      <c r="N10" s="21"/>
      <c r="O10" s="21"/>
      <c r="P10" s="21"/>
      <c r="Q10" s="27"/>
      <c r="R10" s="28"/>
      <c r="S10" s="32"/>
      <c r="T10" s="49"/>
      <c r="U10" s="52"/>
      <c r="V10" s="46"/>
      <c r="W10" s="30"/>
      <c r="X10" s="38"/>
      <c r="Y10" s="40" t="s">
        <v>37</v>
      </c>
      <c r="Z10" s="40"/>
      <c r="AA10" s="40"/>
    </row>
    <row r="11" spans="1:27" ht="41" thickBot="1" x14ac:dyDescent="0.25">
      <c r="A11" s="16">
        <v>10</v>
      </c>
      <c r="B11" s="16"/>
      <c r="C11" s="16" t="s">
        <v>30</v>
      </c>
      <c r="D11" s="17" t="s">
        <v>32</v>
      </c>
      <c r="E11" s="18"/>
      <c r="F11" s="18"/>
      <c r="G11" s="18"/>
      <c r="H11" s="16" t="s">
        <v>12</v>
      </c>
      <c r="I11" s="16">
        <v>9250</v>
      </c>
      <c r="J11" s="16" t="s">
        <v>33</v>
      </c>
      <c r="K11" s="16" t="s">
        <v>16</v>
      </c>
      <c r="L11" s="24"/>
      <c r="M11" s="25"/>
      <c r="N11" s="26"/>
      <c r="O11" s="26"/>
      <c r="P11" s="26"/>
      <c r="Q11" s="34"/>
      <c r="R11" s="35"/>
      <c r="S11" s="36"/>
      <c r="T11" s="51"/>
      <c r="U11" s="54"/>
      <c r="V11" s="48"/>
      <c r="W11" s="37"/>
      <c r="X11" s="42"/>
      <c r="Y11" s="43" t="s">
        <v>37</v>
      </c>
      <c r="Z11" s="44"/>
      <c r="AA11" s="44"/>
    </row>
    <row r="12" spans="1:27" ht="45" thickBot="1" x14ac:dyDescent="0.25">
      <c r="A12" s="11" t="s">
        <v>62</v>
      </c>
      <c r="B12" s="11" t="s">
        <v>61</v>
      </c>
      <c r="C12" s="11" t="s">
        <v>62</v>
      </c>
      <c r="D12" s="11" t="s">
        <v>63</v>
      </c>
      <c r="E12" s="11" t="s">
        <v>61</v>
      </c>
      <c r="F12" s="11" t="s">
        <v>61</v>
      </c>
      <c r="G12" s="11" t="s">
        <v>64</v>
      </c>
      <c r="H12" s="11" t="s">
        <v>61</v>
      </c>
      <c r="I12" s="11" t="s">
        <v>65</v>
      </c>
      <c r="J12" s="11" t="s">
        <v>61</v>
      </c>
      <c r="K12" s="11" t="s">
        <v>61</v>
      </c>
      <c r="L12" s="11" t="s">
        <v>64</v>
      </c>
      <c r="M12" s="11" t="s">
        <v>63</v>
      </c>
      <c r="N12" s="11" t="s">
        <v>66</v>
      </c>
      <c r="O12" s="11" t="s">
        <v>67</v>
      </c>
      <c r="P12" s="11" t="s">
        <v>80</v>
      </c>
      <c r="Q12" s="11" t="s">
        <v>64</v>
      </c>
      <c r="R12" s="11" t="s">
        <v>63</v>
      </c>
      <c r="S12" s="11" t="s">
        <v>66</v>
      </c>
      <c r="T12" s="11" t="s">
        <v>65</v>
      </c>
      <c r="U12" s="11" t="s">
        <v>67</v>
      </c>
      <c r="V12" s="11" t="s">
        <v>76</v>
      </c>
      <c r="W12" s="11"/>
      <c r="X12" s="11" t="s">
        <v>67</v>
      </c>
      <c r="Y12" s="11" t="s">
        <v>61</v>
      </c>
      <c r="Z12" s="11" t="s">
        <v>67</v>
      </c>
      <c r="AA12" s="11" t="s">
        <v>64</v>
      </c>
    </row>
    <row r="13" spans="1:27" ht="45" thickBot="1" x14ac:dyDescent="0.25">
      <c r="C13" s="81"/>
      <c r="K13" s="81"/>
      <c r="L13" s="45" t="s">
        <v>72</v>
      </c>
      <c r="O13" s="45" t="s">
        <v>73</v>
      </c>
      <c r="P13" s="45" t="s">
        <v>78</v>
      </c>
      <c r="Q13" s="45" t="s">
        <v>72</v>
      </c>
      <c r="W13" s="45" t="s">
        <v>73</v>
      </c>
      <c r="X13" s="45" t="s">
        <v>72</v>
      </c>
    </row>
    <row r="14" spans="1:27" ht="67" thickBot="1" x14ac:dyDescent="0.25">
      <c r="O14" s="1"/>
      <c r="P14" s="1"/>
      <c r="W14" s="45" t="s">
        <v>79</v>
      </c>
    </row>
    <row r="18" spans="6:9" x14ac:dyDescent="0.2">
      <c r="F18"/>
      <c r="G18" s="6"/>
      <c r="I18" s="1"/>
    </row>
    <row r="19" spans="6:9" x14ac:dyDescent="0.2">
      <c r="I19" s="1"/>
    </row>
    <row r="20" spans="6:9" x14ac:dyDescent="0.2">
      <c r="F20"/>
      <c r="G20" s="6"/>
      <c r="I20" s="1"/>
    </row>
    <row r="21" spans="6:9" x14ac:dyDescent="0.2">
      <c r="F21"/>
      <c r="G21" s="6"/>
      <c r="I21" s="1"/>
    </row>
    <row r="22" spans="6:9" x14ac:dyDescent="0.2">
      <c r="F22"/>
      <c r="G22" s="6"/>
      <c r="I22" s="1"/>
    </row>
    <row r="23" spans="6:9" x14ac:dyDescent="0.2">
      <c r="F23"/>
      <c r="G23" s="6"/>
      <c r="I23" s="1"/>
    </row>
    <row r="24" spans="6:9" x14ac:dyDescent="0.2">
      <c r="F24"/>
      <c r="G24" s="6"/>
      <c r="I24" s="1"/>
    </row>
  </sheetData>
  <autoFilter ref="A1:Y14" xr:uid="{B43AE799-94D2-4DA5-8971-DAD37CE6B6EE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BAAA-EB6B-4D26-AD74-FF44B72F7D9E}">
  <dimension ref="A1:R50"/>
  <sheetViews>
    <sheetView zoomScale="70" zoomScaleNormal="70" workbookViewId="0">
      <pane ySplit="2" topLeftCell="A3" activePane="bottomLeft" state="frozen"/>
      <selection pane="bottomLeft" activeCell="C17" sqref="C17"/>
    </sheetView>
  </sheetViews>
  <sheetFormatPr baseColWidth="10" defaultColWidth="9.33203125" defaultRowHeight="15" x14ac:dyDescent="0.2"/>
  <cols>
    <col min="3" max="3" width="15.33203125" style="1" bestFit="1" customWidth="1"/>
    <col min="4" max="4" width="15.5" style="1" customWidth="1"/>
    <col min="5" max="5" width="24.6640625" bestFit="1" customWidth="1"/>
    <col min="6" max="6" width="23.5" customWidth="1"/>
    <col min="7" max="7" width="43.33203125" style="1" customWidth="1"/>
    <col min="8" max="8" width="27.1640625" style="1" customWidth="1"/>
    <col min="9" max="9" width="21.83203125" bestFit="1" customWidth="1"/>
    <col min="10" max="10" width="16.83203125" style="6" customWidth="1"/>
    <col min="11" max="11" width="31.5" style="6" customWidth="1"/>
    <col min="12" max="12" width="28" style="1" bestFit="1" customWidth="1"/>
    <col min="13" max="13" width="25.5" bestFit="1" customWidth="1"/>
    <col min="14" max="15" width="15.6640625" customWidth="1"/>
    <col min="16" max="18" width="15.6640625" bestFit="1" customWidth="1"/>
  </cols>
  <sheetData>
    <row r="1" spans="2:13" ht="55.25" customHeight="1" thickBot="1" x14ac:dyDescent="0.25">
      <c r="C1" s="78" t="s">
        <v>93</v>
      </c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2:13" s="1" customFormat="1" ht="23" thickBot="1" x14ac:dyDescent="0.3">
      <c r="C2" s="12" t="s">
        <v>119</v>
      </c>
      <c r="D2" s="13" t="s">
        <v>118</v>
      </c>
      <c r="E2" s="13" t="s">
        <v>85</v>
      </c>
      <c r="F2" s="13" t="s">
        <v>86</v>
      </c>
      <c r="G2" s="14" t="s">
        <v>87</v>
      </c>
      <c r="H2" s="13" t="s">
        <v>88</v>
      </c>
      <c r="I2" s="14" t="s">
        <v>82</v>
      </c>
      <c r="J2" s="14" t="s">
        <v>89</v>
      </c>
      <c r="K2" s="13" t="s">
        <v>120</v>
      </c>
      <c r="L2" s="14" t="s">
        <v>91</v>
      </c>
      <c r="M2" s="14" t="s">
        <v>92</v>
      </c>
    </row>
    <row r="3" spans="2:13" ht="19" x14ac:dyDescent="0.25">
      <c r="B3" s="75"/>
      <c r="C3" s="55">
        <v>1</v>
      </c>
      <c r="D3" s="55"/>
      <c r="E3" s="3"/>
      <c r="F3" s="4"/>
      <c r="G3" s="5"/>
      <c r="H3" s="5"/>
      <c r="I3" s="5"/>
      <c r="J3" s="3"/>
      <c r="K3" s="3"/>
      <c r="L3" s="3"/>
      <c r="M3" s="3"/>
    </row>
    <row r="4" spans="2:13" ht="19" x14ac:dyDescent="0.25">
      <c r="B4" s="76"/>
      <c r="C4" s="55">
        <v>2</v>
      </c>
      <c r="D4" s="55"/>
      <c r="E4" s="3"/>
      <c r="F4" s="4"/>
      <c r="G4" s="5"/>
      <c r="H4" s="5"/>
      <c r="I4" s="5"/>
      <c r="J4" s="3"/>
      <c r="K4" s="3"/>
      <c r="L4" s="3"/>
      <c r="M4" s="3"/>
    </row>
    <row r="5" spans="2:13" ht="19" x14ac:dyDescent="0.25">
      <c r="B5" s="76"/>
      <c r="C5" s="55">
        <v>3</v>
      </c>
      <c r="D5" s="55"/>
      <c r="E5" s="3"/>
      <c r="F5" s="4"/>
      <c r="G5" s="5"/>
      <c r="H5" s="5"/>
      <c r="I5" s="5"/>
      <c r="J5" s="3"/>
      <c r="K5" s="3"/>
      <c r="L5" s="3"/>
      <c r="M5" s="3"/>
    </row>
    <row r="6" spans="2:13" ht="19" x14ac:dyDescent="0.25">
      <c r="B6" s="76"/>
      <c r="C6" s="55">
        <v>4</v>
      </c>
      <c r="D6" s="55"/>
      <c r="E6" s="3"/>
      <c r="F6" s="4"/>
      <c r="G6" s="5"/>
      <c r="H6" s="5"/>
      <c r="I6" s="5"/>
      <c r="J6" s="3"/>
      <c r="K6" s="3"/>
      <c r="L6" s="3"/>
      <c r="M6" s="3"/>
    </row>
    <row r="7" spans="2:13" ht="19" x14ac:dyDescent="0.25">
      <c r="B7" s="76"/>
      <c r="C7" s="55">
        <v>5</v>
      </c>
      <c r="D7" s="55"/>
      <c r="E7" s="3"/>
      <c r="F7" s="4"/>
      <c r="G7" s="5"/>
      <c r="H7" s="5"/>
      <c r="I7" s="5"/>
      <c r="J7" s="3"/>
      <c r="K7" s="3"/>
      <c r="L7" s="3"/>
      <c r="M7" s="3"/>
    </row>
    <row r="8" spans="2:13" ht="19" x14ac:dyDescent="0.25">
      <c r="B8" s="76"/>
      <c r="C8" s="55">
        <v>6</v>
      </c>
      <c r="D8" s="55"/>
      <c r="E8" s="3"/>
      <c r="F8" s="4"/>
      <c r="G8" s="5"/>
      <c r="H8" s="5"/>
      <c r="I8" s="5"/>
      <c r="J8" s="3"/>
      <c r="K8" s="3"/>
      <c r="L8" s="3"/>
      <c r="M8" s="3"/>
    </row>
    <row r="9" spans="2:13" ht="19" x14ac:dyDescent="0.25">
      <c r="B9" s="76"/>
      <c r="C9" s="55">
        <v>7</v>
      </c>
      <c r="D9" s="55"/>
      <c r="E9" s="3"/>
      <c r="F9" s="4"/>
      <c r="G9" s="5"/>
      <c r="H9" s="5"/>
      <c r="I9" s="5"/>
      <c r="J9" s="3"/>
      <c r="K9" s="3"/>
      <c r="L9" s="3"/>
      <c r="M9" s="3"/>
    </row>
    <row r="10" spans="2:13" ht="19" x14ac:dyDescent="0.25">
      <c r="B10" s="76"/>
      <c r="C10" s="55">
        <v>8</v>
      </c>
      <c r="D10" s="55"/>
      <c r="E10" s="3"/>
      <c r="F10" s="4"/>
      <c r="G10" s="5"/>
      <c r="H10" s="5"/>
      <c r="I10" s="5"/>
      <c r="J10" s="3"/>
      <c r="K10" s="3"/>
      <c r="L10" s="3"/>
      <c r="M10" s="3"/>
    </row>
    <row r="11" spans="2:13" ht="18.75" customHeight="1" x14ac:dyDescent="0.25">
      <c r="B11" s="76"/>
      <c r="C11" s="55">
        <v>9</v>
      </c>
      <c r="D11" s="55"/>
      <c r="E11" s="3"/>
      <c r="F11" s="4"/>
      <c r="G11" s="5"/>
      <c r="H11" s="5"/>
      <c r="I11" s="5"/>
      <c r="J11" s="3"/>
      <c r="K11" s="3"/>
      <c r="L11" s="3"/>
      <c r="M11" s="3"/>
    </row>
    <row r="12" spans="2:13" ht="20" thickBot="1" x14ac:dyDescent="0.25">
      <c r="B12" s="77"/>
      <c r="C12" s="56">
        <v>10</v>
      </c>
      <c r="D12" s="56"/>
      <c r="E12" s="16"/>
      <c r="F12" s="17"/>
      <c r="G12" s="18"/>
      <c r="H12" s="18"/>
      <c r="I12" s="18"/>
      <c r="J12" s="16"/>
      <c r="K12" s="16"/>
      <c r="L12" s="16"/>
      <c r="M12" s="16"/>
    </row>
    <row r="13" spans="2:13" ht="45" thickBot="1" x14ac:dyDescent="0.25">
      <c r="C13" s="11" t="s">
        <v>62</v>
      </c>
      <c r="D13" s="11" t="s">
        <v>61</v>
      </c>
      <c r="E13" s="11" t="s">
        <v>62</v>
      </c>
      <c r="F13" s="11" t="s">
        <v>90</v>
      </c>
      <c r="G13" s="11" t="s">
        <v>61</v>
      </c>
      <c r="H13" s="11" t="s">
        <v>61</v>
      </c>
      <c r="I13" s="11" t="s">
        <v>64</v>
      </c>
      <c r="J13" s="11" t="s">
        <v>64</v>
      </c>
      <c r="K13" s="11" t="s">
        <v>64</v>
      </c>
      <c r="L13" s="11" t="s">
        <v>73</v>
      </c>
      <c r="M13" s="11" t="s">
        <v>73</v>
      </c>
    </row>
    <row r="15" spans="2:13" ht="16" thickBot="1" x14ac:dyDescent="0.25"/>
    <row r="16" spans="2:13" ht="34.5" customHeight="1" thickBot="1" x14ac:dyDescent="0.25">
      <c r="C16" s="78" t="s">
        <v>94</v>
      </c>
      <c r="D16" s="79"/>
      <c r="E16" s="79"/>
      <c r="F16" s="79"/>
      <c r="G16" s="79"/>
      <c r="H16" s="79"/>
      <c r="I16" s="80"/>
      <c r="J16"/>
      <c r="K16"/>
      <c r="L16"/>
    </row>
    <row r="17" spans="2:18" s="1" customFormat="1" ht="23" thickBot="1" x14ac:dyDescent="0.3">
      <c r="C17" s="12" t="s">
        <v>119</v>
      </c>
      <c r="D17" s="13" t="s">
        <v>118</v>
      </c>
      <c r="E17" s="13" t="s">
        <v>85</v>
      </c>
      <c r="F17" s="13" t="s">
        <v>95</v>
      </c>
      <c r="G17" s="13" t="s">
        <v>122</v>
      </c>
      <c r="H17" s="13" t="s">
        <v>121</v>
      </c>
      <c r="I17" s="14" t="s">
        <v>96</v>
      </c>
      <c r="J17"/>
      <c r="K17"/>
      <c r="L17"/>
      <c r="M17"/>
      <c r="N17"/>
    </row>
    <row r="18" spans="2:18" ht="18" customHeight="1" x14ac:dyDescent="0.25">
      <c r="B18" s="75"/>
      <c r="C18" s="2">
        <v>1</v>
      </c>
      <c r="D18" s="2"/>
      <c r="E18" s="3"/>
      <c r="F18" s="4"/>
      <c r="G18" s="5"/>
      <c r="H18" s="5"/>
      <c r="I18" s="5"/>
      <c r="J18" s="1"/>
      <c r="K18" s="1"/>
      <c r="M18" s="1"/>
      <c r="N18" s="1"/>
    </row>
    <row r="19" spans="2:18" ht="19" x14ac:dyDescent="0.25">
      <c r="B19" s="76"/>
      <c r="C19" s="2">
        <v>2</v>
      </c>
      <c r="D19" s="2"/>
      <c r="E19" s="3"/>
      <c r="F19" s="4"/>
      <c r="G19" s="5"/>
      <c r="H19" s="5"/>
      <c r="I19" s="5"/>
      <c r="J19"/>
      <c r="K19"/>
      <c r="L19"/>
    </row>
    <row r="20" spans="2:18" ht="19" x14ac:dyDescent="0.25">
      <c r="B20" s="76"/>
      <c r="C20" s="2">
        <v>3</v>
      </c>
      <c r="D20" s="2"/>
      <c r="E20" s="3"/>
      <c r="F20" s="4"/>
      <c r="G20" s="5"/>
      <c r="H20" s="5"/>
      <c r="I20" s="5"/>
      <c r="J20"/>
      <c r="K20"/>
      <c r="L20"/>
    </row>
    <row r="21" spans="2:18" ht="19" x14ac:dyDescent="0.25">
      <c r="B21" s="76"/>
      <c r="C21" s="2">
        <v>4</v>
      </c>
      <c r="D21" s="2"/>
      <c r="E21" s="3"/>
      <c r="F21" s="4"/>
      <c r="G21" s="5"/>
      <c r="H21" s="5"/>
      <c r="I21" s="5"/>
      <c r="J21"/>
      <c r="K21"/>
      <c r="L21"/>
    </row>
    <row r="22" spans="2:18" ht="19" x14ac:dyDescent="0.25">
      <c r="B22" s="76"/>
      <c r="C22" s="2">
        <v>5</v>
      </c>
      <c r="D22" s="2"/>
      <c r="E22" s="3"/>
      <c r="F22" s="4"/>
      <c r="G22" s="5"/>
      <c r="H22" s="5"/>
      <c r="I22" s="5"/>
      <c r="J22"/>
      <c r="K22"/>
      <c r="L22"/>
    </row>
    <row r="23" spans="2:18" ht="19" x14ac:dyDescent="0.25">
      <c r="B23" s="76"/>
      <c r="C23" s="2">
        <v>6</v>
      </c>
      <c r="D23" s="2"/>
      <c r="E23" s="3"/>
      <c r="F23" s="4"/>
      <c r="G23" s="5"/>
      <c r="H23" s="5"/>
      <c r="I23" s="5"/>
      <c r="J23"/>
      <c r="K23"/>
      <c r="L23"/>
    </row>
    <row r="24" spans="2:18" ht="19" x14ac:dyDescent="0.25">
      <c r="B24" s="76"/>
      <c r="C24" s="2">
        <v>7</v>
      </c>
      <c r="D24" s="2"/>
      <c r="E24" s="3"/>
      <c r="F24" s="4"/>
      <c r="G24" s="5"/>
      <c r="H24" s="5"/>
      <c r="I24" s="5"/>
      <c r="J24"/>
      <c r="K24"/>
      <c r="L24"/>
    </row>
    <row r="25" spans="2:18" ht="19" x14ac:dyDescent="0.25">
      <c r="B25" s="76"/>
      <c r="C25" s="2">
        <v>8</v>
      </c>
      <c r="D25" s="2"/>
      <c r="E25" s="3"/>
      <c r="F25" s="4"/>
      <c r="G25" s="5"/>
      <c r="H25" s="5"/>
      <c r="I25" s="5"/>
      <c r="J25"/>
      <c r="K25"/>
      <c r="L25"/>
    </row>
    <row r="26" spans="2:18" ht="18.75" customHeight="1" x14ac:dyDescent="0.25">
      <c r="B26" s="76"/>
      <c r="C26" s="2">
        <v>9</v>
      </c>
      <c r="D26" s="2"/>
      <c r="E26" s="3"/>
      <c r="F26" s="4"/>
      <c r="G26" s="5"/>
      <c r="H26" s="5"/>
      <c r="I26" s="5"/>
      <c r="J26"/>
      <c r="K26"/>
      <c r="L26"/>
    </row>
    <row r="27" spans="2:18" ht="20" thickBot="1" x14ac:dyDescent="0.25">
      <c r="B27" s="77"/>
      <c r="C27" s="16">
        <v>10</v>
      </c>
      <c r="D27" s="16"/>
      <c r="E27" s="16"/>
      <c r="F27" s="17"/>
      <c r="G27" s="18"/>
      <c r="H27" s="18"/>
      <c r="I27" s="18"/>
      <c r="J27"/>
      <c r="K27"/>
      <c r="L27"/>
    </row>
    <row r="28" spans="2:18" ht="45" thickBot="1" x14ac:dyDescent="0.25">
      <c r="C28" s="11" t="s">
        <v>62</v>
      </c>
      <c r="D28" s="11" t="s">
        <v>61</v>
      </c>
      <c r="E28" s="11" t="s">
        <v>62</v>
      </c>
      <c r="F28" s="11" t="s">
        <v>90</v>
      </c>
      <c r="G28" s="11" t="s">
        <v>61</v>
      </c>
      <c r="H28" s="11" t="s">
        <v>61</v>
      </c>
      <c r="I28" s="11" t="s">
        <v>64</v>
      </c>
      <c r="J28"/>
      <c r="K28"/>
      <c r="L28"/>
    </row>
    <row r="29" spans="2:18" x14ac:dyDescent="0.2">
      <c r="J29"/>
      <c r="K29"/>
      <c r="L29"/>
    </row>
    <row r="31" spans="2:18" ht="16" thickBot="1" x14ac:dyDescent="0.25"/>
    <row r="32" spans="2:18" ht="27" thickBot="1" x14ac:dyDescent="0.25">
      <c r="C32" s="78" t="s">
        <v>97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80"/>
    </row>
    <row r="33" spans="1:18" ht="23" thickBot="1" x14ac:dyDescent="0.3">
      <c r="A33" s="1"/>
      <c r="B33" s="1"/>
      <c r="C33" s="12" t="s">
        <v>119</v>
      </c>
      <c r="D33" s="13" t="s">
        <v>118</v>
      </c>
      <c r="E33" s="13" t="s">
        <v>98</v>
      </c>
      <c r="F33" s="13" t="s">
        <v>4</v>
      </c>
      <c r="G33" s="14" t="s">
        <v>84</v>
      </c>
      <c r="H33" s="13" t="s">
        <v>99</v>
      </c>
      <c r="I33" s="14" t="s">
        <v>74</v>
      </c>
      <c r="J33" s="14" t="s">
        <v>100</v>
      </c>
      <c r="K33" s="14" t="s">
        <v>100</v>
      </c>
      <c r="L33" s="14" t="s">
        <v>101</v>
      </c>
      <c r="M33" s="14" t="s">
        <v>102</v>
      </c>
      <c r="N33" s="14" t="s">
        <v>103</v>
      </c>
      <c r="O33" s="14" t="s">
        <v>104</v>
      </c>
      <c r="P33" s="14" t="s">
        <v>105</v>
      </c>
      <c r="Q33" s="14" t="s">
        <v>105</v>
      </c>
      <c r="R33" s="14" t="s">
        <v>106</v>
      </c>
    </row>
    <row r="34" spans="1:18" ht="18" customHeight="1" x14ac:dyDescent="0.25">
      <c r="B34" s="75"/>
      <c r="C34" s="55">
        <v>1</v>
      </c>
      <c r="D34" s="55"/>
      <c r="E34" s="3"/>
      <c r="F34" s="4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</row>
    <row r="35" spans="1:18" ht="19" x14ac:dyDescent="0.25">
      <c r="B35" s="76"/>
      <c r="C35" s="55">
        <v>2</v>
      </c>
      <c r="D35" s="55"/>
      <c r="E35" s="3"/>
      <c r="F35" s="4"/>
      <c r="G35" s="5"/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</row>
    <row r="36" spans="1:18" ht="19" x14ac:dyDescent="0.25">
      <c r="B36" s="76"/>
      <c r="C36" s="55">
        <v>3</v>
      </c>
      <c r="D36" s="55"/>
      <c r="E36" s="3"/>
      <c r="F36" s="4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</row>
    <row r="37" spans="1:18" ht="19" x14ac:dyDescent="0.25">
      <c r="B37" s="76"/>
      <c r="C37" s="55">
        <v>4</v>
      </c>
      <c r="D37" s="55"/>
      <c r="E37" s="3"/>
      <c r="F37" s="4"/>
      <c r="G37" s="5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</row>
    <row r="38" spans="1:18" ht="19" x14ac:dyDescent="0.25">
      <c r="B38" s="76"/>
      <c r="C38" s="55">
        <v>5</v>
      </c>
      <c r="D38" s="55"/>
      <c r="E38" s="3"/>
      <c r="F38" s="4"/>
      <c r="G38" s="5"/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</row>
    <row r="39" spans="1:18" ht="19" x14ac:dyDescent="0.25">
      <c r="B39" s="76"/>
      <c r="C39" s="55">
        <v>6</v>
      </c>
      <c r="D39" s="55"/>
      <c r="E39" s="3"/>
      <c r="F39" s="4"/>
      <c r="G39" s="5"/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</row>
    <row r="40" spans="1:18" ht="19" x14ac:dyDescent="0.25">
      <c r="B40" s="76"/>
      <c r="C40" s="55">
        <v>7</v>
      </c>
      <c r="D40" s="55"/>
      <c r="E40" s="3"/>
      <c r="F40" s="4"/>
      <c r="G40" s="5"/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</row>
    <row r="41" spans="1:18" ht="19" x14ac:dyDescent="0.25">
      <c r="B41" s="76"/>
      <c r="C41" s="55">
        <v>8</v>
      </c>
      <c r="D41" s="55"/>
      <c r="E41" s="3"/>
      <c r="F41" s="4"/>
      <c r="G41" s="5"/>
      <c r="H41" s="5"/>
      <c r="I41" s="5"/>
      <c r="J41" s="3"/>
      <c r="K41" s="3"/>
      <c r="L41" s="3"/>
      <c r="M41" s="3"/>
      <c r="N41" s="3"/>
      <c r="O41" s="3"/>
      <c r="P41" s="3"/>
      <c r="Q41" s="3"/>
      <c r="R41" s="3"/>
    </row>
    <row r="42" spans="1:18" ht="19" x14ac:dyDescent="0.25">
      <c r="B42" s="76"/>
      <c r="C42" s="55">
        <v>9</v>
      </c>
      <c r="D42" s="55"/>
      <c r="E42" s="3"/>
      <c r="F42" s="4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</row>
    <row r="43" spans="1:18" ht="20" thickBot="1" x14ac:dyDescent="0.25">
      <c r="B43" s="77"/>
      <c r="C43" s="56">
        <v>10</v>
      </c>
      <c r="D43" s="56"/>
      <c r="E43" s="16"/>
      <c r="F43" s="17"/>
      <c r="G43" s="18"/>
      <c r="H43" s="18"/>
      <c r="I43" s="18"/>
      <c r="J43" s="16"/>
      <c r="K43" s="16"/>
      <c r="L43" s="16"/>
      <c r="M43" s="16"/>
      <c r="N43" s="16"/>
      <c r="O43" s="16"/>
      <c r="P43" s="16"/>
      <c r="Q43" s="16"/>
      <c r="R43" s="16"/>
    </row>
    <row r="44" spans="1:18" ht="45" thickBot="1" x14ac:dyDescent="0.25">
      <c r="C44" s="11" t="s">
        <v>62</v>
      </c>
      <c r="D44" s="11" t="s">
        <v>61</v>
      </c>
      <c r="E44" s="11" t="s">
        <v>62</v>
      </c>
      <c r="F44" s="11" t="s">
        <v>90</v>
      </c>
      <c r="G44" s="11" t="s">
        <v>61</v>
      </c>
      <c r="H44" s="11" t="s">
        <v>90</v>
      </c>
      <c r="I44" s="11" t="s">
        <v>61</v>
      </c>
      <c r="J44" s="11" t="s">
        <v>61</v>
      </c>
      <c r="K44" s="11" t="s">
        <v>64</v>
      </c>
      <c r="L44" s="11" t="s">
        <v>64</v>
      </c>
      <c r="M44" s="11" t="s">
        <v>64</v>
      </c>
      <c r="N44" s="11" t="s">
        <v>64</v>
      </c>
      <c r="O44" s="11" t="s">
        <v>64</v>
      </c>
      <c r="P44" s="11" t="s">
        <v>64</v>
      </c>
      <c r="Q44" s="11" t="s">
        <v>64</v>
      </c>
      <c r="R44" s="11" t="s">
        <v>107</v>
      </c>
    </row>
    <row r="50" spans="4:4" x14ac:dyDescent="0.2">
      <c r="D50"/>
    </row>
  </sheetData>
  <autoFilter ref="C2:M12" xr:uid="{B43AE799-94D2-4DA5-8971-DAD37CE6B6EE}"/>
  <mergeCells count="6">
    <mergeCell ref="B34:B43"/>
    <mergeCell ref="C1:M1"/>
    <mergeCell ref="B3:B12"/>
    <mergeCell ref="C16:I16"/>
    <mergeCell ref="B18:B27"/>
    <mergeCell ref="C32:R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81B5-418A-45CE-B377-01D7348B71CD}">
  <dimension ref="A1:L40"/>
  <sheetViews>
    <sheetView zoomScale="70" zoomScaleNormal="70" workbookViewId="0">
      <pane ySplit="2" topLeftCell="A3" activePane="bottomLeft" state="frozen"/>
      <selection pane="bottomLeft" activeCell="J1" sqref="J1"/>
    </sheetView>
  </sheetViews>
  <sheetFormatPr baseColWidth="10" defaultColWidth="9.33203125" defaultRowHeight="15" x14ac:dyDescent="0.2"/>
  <cols>
    <col min="3" max="3" width="27" style="1" customWidth="1"/>
    <col min="4" max="4" width="30.6640625" style="1" bestFit="1" customWidth="1"/>
    <col min="5" max="5" width="24.6640625" bestFit="1" customWidth="1"/>
    <col min="6" max="6" width="26.5" customWidth="1"/>
    <col min="7" max="7" width="25.6640625" style="1" bestFit="1" customWidth="1"/>
    <col min="8" max="8" width="25.6640625" style="1" customWidth="1"/>
    <col min="9" max="9" width="27.5" customWidth="1"/>
    <col min="10" max="10" width="24.5" style="6" customWidth="1"/>
    <col min="11" max="11" width="19.5" style="6" bestFit="1" customWidth="1"/>
    <col min="12" max="12" width="28" style="1" bestFit="1" customWidth="1"/>
    <col min="13" max="13" width="25.5" bestFit="1" customWidth="1"/>
    <col min="14" max="15" width="15.6640625" customWidth="1"/>
    <col min="16" max="18" width="15.6640625" bestFit="1" customWidth="1"/>
  </cols>
  <sheetData>
    <row r="1" spans="1:9" ht="45" thickBot="1" x14ac:dyDescent="0.25">
      <c r="A1" s="57" t="s">
        <v>119</v>
      </c>
      <c r="B1" s="57" t="s">
        <v>118</v>
      </c>
      <c r="C1" s="57" t="s">
        <v>123</v>
      </c>
      <c r="D1" s="57" t="s">
        <v>124</v>
      </c>
      <c r="E1" s="57" t="s">
        <v>99</v>
      </c>
      <c r="F1" s="57" t="s">
        <v>4</v>
      </c>
      <c r="G1" s="57" t="s">
        <v>74</v>
      </c>
      <c r="H1" s="57" t="s">
        <v>4</v>
      </c>
      <c r="I1" s="57" t="s">
        <v>4</v>
      </c>
    </row>
    <row r="2" spans="1:9" ht="19" x14ac:dyDescent="0.25">
      <c r="A2" s="59">
        <v>1</v>
      </c>
      <c r="B2" s="60"/>
      <c r="C2" s="63" t="s">
        <v>138</v>
      </c>
      <c r="D2" s="62"/>
      <c r="E2" s="63"/>
      <c r="F2" s="63"/>
      <c r="G2" s="63"/>
      <c r="H2" s="61"/>
      <c r="I2" s="64"/>
    </row>
    <row r="3" spans="1:9" ht="19" x14ac:dyDescent="0.25">
      <c r="A3" s="65">
        <v>2</v>
      </c>
      <c r="B3" s="2"/>
      <c r="C3" s="5" t="s">
        <v>139</v>
      </c>
      <c r="D3" s="4"/>
      <c r="E3" s="5"/>
      <c r="F3" s="5"/>
      <c r="G3" s="5"/>
      <c r="H3" s="3"/>
      <c r="I3" s="66"/>
    </row>
    <row r="4" spans="1:9" ht="19" x14ac:dyDescent="0.25">
      <c r="A4" s="65">
        <v>3</v>
      </c>
      <c r="B4" s="2"/>
      <c r="C4" s="5" t="s">
        <v>125</v>
      </c>
      <c r="D4" s="4"/>
      <c r="E4" s="5"/>
      <c r="F4" s="5"/>
      <c r="G4" s="5"/>
      <c r="H4" s="3"/>
      <c r="I4" s="66"/>
    </row>
    <row r="5" spans="1:9" ht="19" x14ac:dyDescent="0.25">
      <c r="A5" s="65">
        <v>4</v>
      </c>
      <c r="B5" s="2"/>
      <c r="C5" s="5" t="s">
        <v>126</v>
      </c>
      <c r="D5" s="4"/>
      <c r="E5" s="5"/>
      <c r="F5" s="5"/>
      <c r="G5" s="5"/>
      <c r="H5" s="3"/>
      <c r="I5" s="66"/>
    </row>
    <row r="6" spans="1:9" ht="19" x14ac:dyDescent="0.25">
      <c r="A6" s="65">
        <v>5</v>
      </c>
      <c r="B6" s="2"/>
      <c r="C6" s="5" t="s">
        <v>140</v>
      </c>
      <c r="D6" s="4"/>
      <c r="E6" s="5"/>
      <c r="F6" s="5"/>
      <c r="G6" s="5"/>
      <c r="H6" s="3"/>
      <c r="I6" s="66"/>
    </row>
    <row r="7" spans="1:9" ht="19" x14ac:dyDescent="0.25">
      <c r="A7" s="65">
        <v>6</v>
      </c>
      <c r="B7" s="2"/>
      <c r="C7" s="5" t="s">
        <v>141</v>
      </c>
      <c r="D7" s="4"/>
      <c r="E7" s="5"/>
      <c r="F7" s="5"/>
      <c r="G7" s="5"/>
      <c r="H7" s="3"/>
      <c r="I7" s="66"/>
    </row>
    <row r="8" spans="1:9" ht="19" x14ac:dyDescent="0.25">
      <c r="A8" s="65">
        <v>7</v>
      </c>
      <c r="B8" s="2"/>
      <c r="C8" s="5" t="s">
        <v>142</v>
      </c>
      <c r="D8" s="4"/>
      <c r="E8" s="5"/>
      <c r="F8" s="5"/>
      <c r="G8" s="5"/>
      <c r="H8" s="3"/>
      <c r="I8" s="66"/>
    </row>
    <row r="9" spans="1:9" ht="19" x14ac:dyDescent="0.25">
      <c r="A9" s="65">
        <v>8</v>
      </c>
      <c r="B9" s="2"/>
      <c r="C9" s="5" t="s">
        <v>143</v>
      </c>
      <c r="D9" s="4"/>
      <c r="E9" s="5"/>
      <c r="F9" s="5"/>
      <c r="G9" s="5"/>
      <c r="H9" s="3"/>
      <c r="I9" s="66"/>
    </row>
    <row r="10" spans="1:9" ht="19" x14ac:dyDescent="0.25">
      <c r="A10" s="65">
        <v>9</v>
      </c>
      <c r="B10" s="2"/>
      <c r="C10" s="5" t="s">
        <v>144</v>
      </c>
      <c r="D10" s="4"/>
      <c r="E10" s="5"/>
      <c r="F10" s="5"/>
      <c r="G10" s="5"/>
      <c r="H10" s="3"/>
      <c r="I10" s="66"/>
    </row>
    <row r="11" spans="1:9" ht="19" x14ac:dyDescent="0.2">
      <c r="A11" s="67">
        <v>10</v>
      </c>
      <c r="B11" s="3"/>
      <c r="C11" s="5" t="s">
        <v>145</v>
      </c>
      <c r="D11" s="58"/>
      <c r="E11" s="5"/>
      <c r="F11" s="5"/>
      <c r="G11" s="5"/>
      <c r="H11" s="3"/>
      <c r="I11" s="68"/>
    </row>
    <row r="12" spans="1:9" ht="19" x14ac:dyDescent="0.25">
      <c r="A12" s="65">
        <v>11</v>
      </c>
      <c r="B12" s="2"/>
      <c r="C12" s="5" t="s">
        <v>127</v>
      </c>
      <c r="D12" s="4"/>
      <c r="E12" s="5"/>
      <c r="F12" s="5"/>
      <c r="G12" s="5"/>
      <c r="H12" s="3"/>
      <c r="I12" s="66"/>
    </row>
    <row r="13" spans="1:9" ht="19" x14ac:dyDescent="0.25">
      <c r="A13" s="65">
        <v>12</v>
      </c>
      <c r="B13" s="2"/>
      <c r="C13" s="5" t="s">
        <v>128</v>
      </c>
      <c r="D13" s="4"/>
      <c r="E13" s="5"/>
      <c r="F13" s="5"/>
      <c r="G13" s="5"/>
      <c r="H13" s="3"/>
      <c r="I13" s="66"/>
    </row>
    <row r="14" spans="1:9" ht="19" x14ac:dyDescent="0.25">
      <c r="A14" s="65">
        <v>13</v>
      </c>
      <c r="B14" s="2"/>
      <c r="C14" s="5" t="s">
        <v>129</v>
      </c>
      <c r="D14" s="4"/>
      <c r="E14" s="5"/>
      <c r="F14" s="5"/>
      <c r="G14" s="5"/>
      <c r="H14" s="3"/>
      <c r="I14" s="66"/>
    </row>
    <row r="15" spans="1:9" ht="19" x14ac:dyDescent="0.25">
      <c r="A15" s="65">
        <v>14</v>
      </c>
      <c r="B15" s="2"/>
      <c r="C15" s="5" t="s">
        <v>130</v>
      </c>
      <c r="D15" s="4"/>
      <c r="E15" s="5"/>
      <c r="F15" s="5"/>
      <c r="G15" s="5"/>
      <c r="H15" s="3"/>
      <c r="I15" s="66"/>
    </row>
    <row r="16" spans="1:9" ht="19" x14ac:dyDescent="0.25">
      <c r="A16" s="65">
        <v>15</v>
      </c>
      <c r="B16" s="2"/>
      <c r="C16" s="5" t="s">
        <v>133</v>
      </c>
      <c r="D16" s="4"/>
      <c r="E16" s="5"/>
      <c r="F16" s="5"/>
      <c r="G16" s="5"/>
      <c r="H16" s="3"/>
      <c r="I16" s="66"/>
    </row>
    <row r="17" spans="1:9" ht="19" x14ac:dyDescent="0.25">
      <c r="A17" s="65">
        <v>16</v>
      </c>
      <c r="B17" s="2"/>
      <c r="C17" s="5" t="s">
        <v>134</v>
      </c>
      <c r="D17" s="4"/>
      <c r="E17" s="5"/>
      <c r="F17" s="5"/>
      <c r="G17" s="5"/>
      <c r="H17" s="3"/>
      <c r="I17" s="66"/>
    </row>
    <row r="18" spans="1:9" ht="19" x14ac:dyDescent="0.25">
      <c r="A18" s="65">
        <v>17</v>
      </c>
      <c r="B18" s="2"/>
      <c r="C18" s="5" t="s">
        <v>135</v>
      </c>
      <c r="D18" s="4"/>
      <c r="E18" s="5"/>
      <c r="F18" s="5"/>
      <c r="G18" s="5"/>
      <c r="H18" s="3"/>
      <c r="I18" s="66"/>
    </row>
    <row r="19" spans="1:9" ht="19" x14ac:dyDescent="0.25">
      <c r="A19" s="65">
        <v>18</v>
      </c>
      <c r="B19" s="2"/>
      <c r="C19" s="5" t="s">
        <v>136</v>
      </c>
      <c r="D19" s="4"/>
      <c r="E19" s="5"/>
      <c r="F19" s="5"/>
      <c r="G19" s="5"/>
      <c r="H19" s="3"/>
      <c r="I19" s="66"/>
    </row>
    <row r="20" spans="1:9" ht="19" x14ac:dyDescent="0.25">
      <c r="A20" s="65">
        <v>19</v>
      </c>
      <c r="B20" s="2"/>
      <c r="C20" s="5" t="s">
        <v>137</v>
      </c>
      <c r="D20" s="4"/>
      <c r="E20" s="5"/>
      <c r="F20" s="5"/>
      <c r="G20" s="5"/>
      <c r="H20" s="3"/>
      <c r="I20" s="66"/>
    </row>
    <row r="21" spans="1:9" ht="19" x14ac:dyDescent="0.2">
      <c r="A21" s="67">
        <v>20</v>
      </c>
      <c r="B21" s="3"/>
      <c r="C21" s="5" t="s">
        <v>146</v>
      </c>
      <c r="D21" s="58"/>
      <c r="E21" s="5"/>
      <c r="F21" s="5"/>
      <c r="G21" s="5"/>
      <c r="H21" s="3"/>
      <c r="I21" s="68"/>
    </row>
    <row r="22" spans="1:9" ht="19" x14ac:dyDescent="0.25">
      <c r="A22" s="65">
        <v>21</v>
      </c>
      <c r="B22" s="2"/>
      <c r="C22" s="5" t="s">
        <v>147</v>
      </c>
      <c r="D22" s="4"/>
      <c r="E22" s="5"/>
      <c r="F22" s="5"/>
      <c r="G22" s="5"/>
      <c r="H22" s="3"/>
      <c r="I22" s="66"/>
    </row>
    <row r="23" spans="1:9" ht="19" x14ac:dyDescent="0.25">
      <c r="A23" s="65">
        <v>22</v>
      </c>
      <c r="B23" s="2"/>
      <c r="C23" s="5" t="s">
        <v>131</v>
      </c>
      <c r="D23" s="4"/>
      <c r="E23" s="5"/>
      <c r="F23" s="5"/>
      <c r="G23" s="5"/>
      <c r="H23" s="3"/>
      <c r="I23" s="66"/>
    </row>
    <row r="24" spans="1:9" ht="19" x14ac:dyDescent="0.25">
      <c r="A24" s="65">
        <v>23</v>
      </c>
      <c r="B24" s="2"/>
      <c r="C24" s="5" t="s">
        <v>131</v>
      </c>
      <c r="D24" s="4"/>
      <c r="E24" s="5"/>
      <c r="F24" s="5"/>
      <c r="G24" s="5"/>
      <c r="H24" s="3"/>
      <c r="I24" s="66"/>
    </row>
    <row r="25" spans="1:9" ht="19" x14ac:dyDescent="0.25">
      <c r="A25" s="65">
        <v>24</v>
      </c>
      <c r="B25" s="2"/>
      <c r="C25" s="5" t="s">
        <v>131</v>
      </c>
      <c r="D25" s="4"/>
      <c r="E25" s="5"/>
      <c r="F25" s="5"/>
      <c r="G25" s="5"/>
      <c r="H25" s="3"/>
      <c r="I25" s="66"/>
    </row>
    <row r="26" spans="1:9" ht="19" x14ac:dyDescent="0.25">
      <c r="A26" s="65">
        <v>25</v>
      </c>
      <c r="B26" s="2"/>
      <c r="C26" s="5" t="s">
        <v>131</v>
      </c>
      <c r="D26" s="4"/>
      <c r="E26" s="5"/>
      <c r="F26" s="5"/>
      <c r="G26" s="5"/>
      <c r="H26" s="3"/>
      <c r="I26" s="66"/>
    </row>
    <row r="27" spans="1:9" ht="19" x14ac:dyDescent="0.25">
      <c r="A27" s="65">
        <v>26</v>
      </c>
      <c r="B27" s="2"/>
      <c r="C27" s="5" t="s">
        <v>131</v>
      </c>
      <c r="D27" s="4"/>
      <c r="E27" s="5"/>
      <c r="F27" s="5"/>
      <c r="G27" s="5"/>
      <c r="H27" s="3"/>
      <c r="I27" s="66"/>
    </row>
    <row r="28" spans="1:9" ht="19" x14ac:dyDescent="0.25">
      <c r="A28" s="65">
        <v>27</v>
      </c>
      <c r="B28" s="2"/>
      <c r="C28" s="5" t="s">
        <v>131</v>
      </c>
      <c r="D28" s="4"/>
      <c r="E28" s="5"/>
      <c r="F28" s="5"/>
      <c r="G28" s="5"/>
      <c r="H28" s="3"/>
      <c r="I28" s="66"/>
    </row>
    <row r="29" spans="1:9" ht="19" x14ac:dyDescent="0.25">
      <c r="A29" s="65">
        <v>28</v>
      </c>
      <c r="B29" s="2"/>
      <c r="C29" s="5" t="s">
        <v>131</v>
      </c>
      <c r="D29" s="4"/>
      <c r="E29" s="5"/>
      <c r="F29" s="5"/>
      <c r="G29" s="5"/>
      <c r="H29" s="3"/>
      <c r="I29" s="66"/>
    </row>
    <row r="30" spans="1:9" ht="19" x14ac:dyDescent="0.25">
      <c r="A30" s="65">
        <v>29</v>
      </c>
      <c r="B30" s="2"/>
      <c r="C30" s="5" t="s">
        <v>131</v>
      </c>
      <c r="D30" s="4"/>
      <c r="E30" s="5"/>
      <c r="F30" s="5"/>
      <c r="G30" s="5"/>
      <c r="H30" s="3"/>
      <c r="I30" s="66"/>
    </row>
    <row r="31" spans="1:9" ht="19" x14ac:dyDescent="0.2">
      <c r="A31" s="67">
        <v>30</v>
      </c>
      <c r="B31" s="3"/>
      <c r="C31" s="5" t="s">
        <v>131</v>
      </c>
      <c r="D31" s="58"/>
      <c r="E31" s="5"/>
      <c r="F31" s="5"/>
      <c r="G31" s="5"/>
      <c r="H31" s="3"/>
      <c r="I31" s="68"/>
    </row>
    <row r="32" spans="1:9" ht="19" x14ac:dyDescent="0.25">
      <c r="A32" s="65">
        <v>31</v>
      </c>
      <c r="B32" s="2"/>
      <c r="C32" s="5" t="s">
        <v>131</v>
      </c>
      <c r="D32" s="4"/>
      <c r="E32" s="5"/>
      <c r="F32" s="5"/>
      <c r="G32" s="5"/>
      <c r="H32" s="3"/>
      <c r="I32" s="66"/>
    </row>
    <row r="33" spans="1:9" ht="19" x14ac:dyDescent="0.25">
      <c r="A33" s="65">
        <v>32</v>
      </c>
      <c r="B33" s="2"/>
      <c r="C33" s="5" t="s">
        <v>131</v>
      </c>
      <c r="D33" s="4"/>
      <c r="E33" s="5"/>
      <c r="F33" s="5"/>
      <c r="G33" s="5"/>
      <c r="H33" s="3"/>
      <c r="I33" s="66"/>
    </row>
    <row r="34" spans="1:9" ht="19" x14ac:dyDescent="0.25">
      <c r="A34" s="65">
        <v>33</v>
      </c>
      <c r="B34" s="2"/>
      <c r="C34" s="5" t="s">
        <v>131</v>
      </c>
      <c r="D34" s="4"/>
      <c r="E34" s="5"/>
      <c r="F34" s="5"/>
      <c r="G34" s="5"/>
      <c r="H34" s="3"/>
      <c r="I34" s="66"/>
    </row>
    <row r="35" spans="1:9" ht="19" x14ac:dyDescent="0.25">
      <c r="A35" s="65">
        <v>34</v>
      </c>
      <c r="B35" s="2"/>
      <c r="C35" s="5" t="s">
        <v>131</v>
      </c>
      <c r="D35" s="4"/>
      <c r="E35" s="5"/>
      <c r="F35" s="5"/>
      <c r="G35" s="5"/>
      <c r="H35" s="3"/>
      <c r="I35" s="66"/>
    </row>
    <row r="36" spans="1:9" ht="19" x14ac:dyDescent="0.25">
      <c r="A36" s="65">
        <v>35</v>
      </c>
      <c r="B36" s="2"/>
      <c r="C36" s="5" t="s">
        <v>131</v>
      </c>
      <c r="D36" s="4"/>
      <c r="E36" s="5"/>
      <c r="F36" s="5"/>
      <c r="G36" s="5"/>
      <c r="H36" s="3"/>
      <c r="I36" s="66"/>
    </row>
    <row r="37" spans="1:9" ht="20" thickBot="1" x14ac:dyDescent="0.3">
      <c r="A37" s="69">
        <v>36</v>
      </c>
      <c r="B37" s="70"/>
      <c r="C37" s="5" t="s">
        <v>131</v>
      </c>
      <c r="D37" s="72"/>
      <c r="E37" s="73"/>
      <c r="F37" s="73"/>
      <c r="G37" s="73"/>
      <c r="H37" s="71"/>
      <c r="I37" s="74"/>
    </row>
    <row r="40" spans="1:9" x14ac:dyDescent="0.2">
      <c r="F40" s="6" t="s">
        <v>132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800D-40E4-824A-898A-D7075C4FF693}">
  <dimension ref="A1:K12"/>
  <sheetViews>
    <sheetView tabSelected="1" workbookViewId="0">
      <selection activeCell="J18" sqref="J18"/>
    </sheetView>
  </sheetViews>
  <sheetFormatPr baseColWidth="10" defaultRowHeight="15" x14ac:dyDescent="0.2"/>
  <sheetData>
    <row r="1" spans="1:11" ht="67" thickBot="1" x14ac:dyDescent="0.3">
      <c r="A1" s="12" t="s">
        <v>119</v>
      </c>
      <c r="B1" s="13" t="s">
        <v>118</v>
      </c>
      <c r="C1" s="13" t="s">
        <v>85</v>
      </c>
      <c r="D1" s="13" t="s">
        <v>86</v>
      </c>
      <c r="E1" s="14" t="s">
        <v>87</v>
      </c>
      <c r="F1" s="13" t="s">
        <v>88</v>
      </c>
      <c r="G1" s="14" t="s">
        <v>82</v>
      </c>
      <c r="H1" s="14" t="s">
        <v>89</v>
      </c>
      <c r="I1" s="13" t="s">
        <v>120</v>
      </c>
      <c r="J1" s="14" t="s">
        <v>91</v>
      </c>
      <c r="K1" s="14" t="s">
        <v>92</v>
      </c>
    </row>
    <row r="2" spans="1:11" ht="19" x14ac:dyDescent="0.25">
      <c r="A2" s="55">
        <v>1</v>
      </c>
      <c r="B2" s="55"/>
      <c r="C2" s="3"/>
      <c r="D2" s="4"/>
      <c r="E2" s="5"/>
      <c r="F2" s="5"/>
      <c r="G2" s="5"/>
      <c r="H2" s="3"/>
      <c r="I2" s="3"/>
      <c r="J2" s="3"/>
      <c r="K2" s="3"/>
    </row>
    <row r="3" spans="1:11" ht="19" x14ac:dyDescent="0.25">
      <c r="A3" s="55">
        <v>2</v>
      </c>
      <c r="B3" s="55"/>
      <c r="C3" s="3"/>
      <c r="D3" s="4"/>
      <c r="E3" s="5"/>
      <c r="F3" s="5"/>
      <c r="G3" s="5"/>
      <c r="H3" s="3"/>
      <c r="I3" s="3"/>
      <c r="J3" s="3"/>
      <c r="K3" s="3"/>
    </row>
    <row r="4" spans="1:11" ht="19" x14ac:dyDescent="0.25">
      <c r="A4" s="55">
        <v>3</v>
      </c>
      <c r="B4" s="55"/>
      <c r="C4" s="3"/>
      <c r="D4" s="4"/>
      <c r="E4" s="5"/>
      <c r="F4" s="5"/>
      <c r="G4" s="5"/>
      <c r="H4" s="3"/>
      <c r="I4" s="3"/>
      <c r="J4" s="3"/>
      <c r="K4" s="3"/>
    </row>
    <row r="5" spans="1:11" ht="19" x14ac:dyDescent="0.25">
      <c r="A5" s="55">
        <v>4</v>
      </c>
      <c r="B5" s="55"/>
      <c r="C5" s="3"/>
      <c r="D5" s="4"/>
      <c r="E5" s="5"/>
      <c r="F5" s="5"/>
      <c r="G5" s="5"/>
      <c r="H5" s="3"/>
      <c r="I5" s="3"/>
      <c r="J5" s="3"/>
      <c r="K5" s="3"/>
    </row>
    <row r="6" spans="1:11" ht="19" x14ac:dyDescent="0.25">
      <c r="A6" s="55">
        <v>5</v>
      </c>
      <c r="B6" s="55"/>
      <c r="C6" s="3"/>
      <c r="D6" s="4"/>
      <c r="E6" s="5"/>
      <c r="F6" s="5"/>
      <c r="G6" s="5"/>
      <c r="H6" s="3"/>
      <c r="I6" s="3"/>
      <c r="J6" s="3"/>
      <c r="K6" s="3"/>
    </row>
    <row r="7" spans="1:11" ht="19" x14ac:dyDescent="0.25">
      <c r="A7" s="55">
        <v>6</v>
      </c>
      <c r="B7" s="55"/>
      <c r="C7" s="3"/>
      <c r="D7" s="4"/>
      <c r="E7" s="5"/>
      <c r="F7" s="5"/>
      <c r="G7" s="5"/>
      <c r="H7" s="3"/>
      <c r="I7" s="3"/>
      <c r="J7" s="3"/>
      <c r="K7" s="3"/>
    </row>
    <row r="8" spans="1:11" ht="19" x14ac:dyDescent="0.25">
      <c r="A8" s="55">
        <v>7</v>
      </c>
      <c r="B8" s="55"/>
      <c r="C8" s="3"/>
      <c r="D8" s="4"/>
      <c r="E8" s="5"/>
      <c r="F8" s="5"/>
      <c r="G8" s="5"/>
      <c r="H8" s="3"/>
      <c r="I8" s="3"/>
      <c r="J8" s="3"/>
      <c r="K8" s="3"/>
    </row>
    <row r="9" spans="1:11" ht="19" x14ac:dyDescent="0.25">
      <c r="A9" s="55">
        <v>8</v>
      </c>
      <c r="B9" s="55"/>
      <c r="C9" s="3"/>
      <c r="D9" s="4"/>
      <c r="E9" s="5"/>
      <c r="F9" s="5"/>
      <c r="G9" s="5"/>
      <c r="H9" s="3"/>
      <c r="I9" s="3"/>
      <c r="J9" s="3"/>
      <c r="K9" s="3"/>
    </row>
    <row r="10" spans="1:11" ht="19" x14ac:dyDescent="0.25">
      <c r="A10" s="55">
        <v>9</v>
      </c>
      <c r="B10" s="55"/>
      <c r="C10" s="3"/>
      <c r="D10" s="4"/>
      <c r="E10" s="5"/>
      <c r="F10" s="5"/>
      <c r="G10" s="5"/>
      <c r="H10" s="3"/>
      <c r="I10" s="3"/>
      <c r="J10" s="3"/>
      <c r="K10" s="3"/>
    </row>
    <row r="11" spans="1:11" ht="20" thickBot="1" x14ac:dyDescent="0.25">
      <c r="A11" s="56">
        <v>10</v>
      </c>
      <c r="B11" s="56"/>
      <c r="C11" s="16"/>
      <c r="D11" s="17"/>
      <c r="E11" s="18"/>
      <c r="F11" s="18"/>
      <c r="G11" s="18"/>
      <c r="H11" s="16"/>
      <c r="I11" s="16"/>
      <c r="J11" s="16"/>
      <c r="K11" s="16"/>
    </row>
    <row r="12" spans="1:11" ht="89" thickBot="1" x14ac:dyDescent="0.25">
      <c r="A12" s="11" t="s">
        <v>62</v>
      </c>
      <c r="B12" s="11" t="s">
        <v>61</v>
      </c>
      <c r="C12" s="11" t="s">
        <v>62</v>
      </c>
      <c r="D12" s="11" t="s">
        <v>90</v>
      </c>
      <c r="E12" s="11" t="s">
        <v>61</v>
      </c>
      <c r="F12" s="11" t="s">
        <v>61</v>
      </c>
      <c r="G12" s="11" t="s">
        <v>64</v>
      </c>
      <c r="H12" s="11" t="s">
        <v>64</v>
      </c>
      <c r="I12" s="11" t="s">
        <v>64</v>
      </c>
      <c r="J12" s="11" t="s">
        <v>73</v>
      </c>
      <c r="K12" s="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REVENUE</vt:lpstr>
      <vt:lpstr>EXPENSES</vt:lpstr>
      <vt:lpstr>EXPENSES_01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CM.</dc:creator>
  <cp:lastModifiedBy>Bharath</cp:lastModifiedBy>
  <dcterms:created xsi:type="dcterms:W3CDTF">2015-06-05T18:17:20Z</dcterms:created>
  <dcterms:modified xsi:type="dcterms:W3CDTF">2026-03-21T20:04:02Z</dcterms:modified>
</cp:coreProperties>
</file>